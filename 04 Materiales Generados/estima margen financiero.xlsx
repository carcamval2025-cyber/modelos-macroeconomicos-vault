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ropbox\macro 2 2026\"/>
    </mc:Choice>
  </mc:AlternateContent>
  <xr:revisionPtr revIDLastSave="0" documentId="13_ncr:1_{E52E0818-A639-464B-BDC0-7B854657DAE0}" xr6:coauthVersionLast="47" xr6:coauthVersionMax="47" xr10:uidLastSave="{00000000-0000-0000-0000-000000000000}"/>
  <bookViews>
    <workbookView xWindow="-120" yWindow="-120" windowWidth="20730" windowHeight="11160" activeTab="2" xr2:uid="{41B7BCCD-D2E9-4689-B38D-0E4CDB450256}"/>
  </bookViews>
  <sheets>
    <sheet name="Sheet1" sheetId="1" r:id="rId1"/>
    <sheet name="Chart1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2" i="2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2" i="2"/>
  <c r="H2" i="2" s="1"/>
  <c r="C11" i="2"/>
  <c r="C9" i="2"/>
  <c r="C10" i="2" s="1"/>
  <c r="U5" i="1"/>
  <c r="S5" i="1"/>
  <c r="S1" i="1"/>
  <c r="S3" i="1"/>
  <c r="P3" i="1"/>
  <c r="R3" i="1" s="1"/>
  <c r="R5" i="1" s="1"/>
  <c r="N3" i="1"/>
  <c r="N5" i="1" s="1"/>
  <c r="J11" i="1"/>
  <c r="J12" i="1" s="1"/>
  <c r="J3" i="1"/>
  <c r="J5" i="1" s="1"/>
  <c r="D5" i="1"/>
  <c r="D3" i="1"/>
</calcChain>
</file>

<file path=xl/sharedStrings.xml><?xml version="1.0" encoding="utf-8"?>
<sst xmlns="http://schemas.openxmlformats.org/spreadsheetml/2006/main" count="13" uniqueCount="12">
  <si>
    <t>ip</t>
  </si>
  <si>
    <t>ia</t>
  </si>
  <si>
    <t>rl</t>
  </si>
  <si>
    <t>p</t>
  </si>
  <si>
    <t>depósitos</t>
  </si>
  <si>
    <t>patrimonio</t>
  </si>
  <si>
    <t>margen intermediación</t>
  </si>
  <si>
    <t>retorno sobre patrimonio</t>
  </si>
  <si>
    <t>grado de apalancamiento</t>
  </si>
  <si>
    <t>MI</t>
  </si>
  <si>
    <t>rsp</t>
  </si>
  <si>
    <t>ia (exigida)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</si>
</sst>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2" fontId="0" fillId="0" borderId="0" xfId="0" applyNumberFormat="1"/>
    <xf numFmtId="9" fontId="0" fillId="0" borderId="0" xfId="1" applyFont="1"/>
    <xf numFmtId="164" fontId="0" fillId="0" borderId="0" xfId="1" applyNumberFormat="1" applyFont="1"/>
    <xf numFmtId="10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cambio en rentabilidad ante cambios en la probabilidad de incumplimiento y trayectoria de tasa activa para compensar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Sheet2!$H$1</c:f>
              <c:strCache>
                <c:ptCount val="1"/>
                <c:pt idx="0">
                  <c:v>rsp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Sheet2!$F$2:$F$52</c:f>
              <c:numCache>
                <c:formatCode>0%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cat>
          <c:val>
            <c:numRef>
              <c:f>Sheet2!$H$2:$H$52</c:f>
              <c:numCache>
                <c:formatCode>0.00%</c:formatCode>
                <c:ptCount val="51"/>
                <c:pt idx="0">
                  <c:v>0.10000000000000002</c:v>
                </c:pt>
                <c:pt idx="1">
                  <c:v>9.8200000000000023E-2</c:v>
                </c:pt>
                <c:pt idx="2">
                  <c:v>9.6400000000000027E-2</c:v>
                </c:pt>
                <c:pt idx="3">
                  <c:v>9.4600000000000004E-2</c:v>
                </c:pt>
                <c:pt idx="4">
                  <c:v>9.2800000000000007E-2</c:v>
                </c:pt>
                <c:pt idx="5">
                  <c:v>9.1000000000000011E-2</c:v>
                </c:pt>
                <c:pt idx="6">
                  <c:v>8.9200000000000015E-2</c:v>
                </c:pt>
                <c:pt idx="7">
                  <c:v>8.7400000000000019E-2</c:v>
                </c:pt>
                <c:pt idx="8">
                  <c:v>8.5600000000000023E-2</c:v>
                </c:pt>
                <c:pt idx="9">
                  <c:v>8.3800000000000027E-2</c:v>
                </c:pt>
                <c:pt idx="10">
                  <c:v>8.2000000000000031E-2</c:v>
                </c:pt>
                <c:pt idx="11">
                  <c:v>8.0200000000000007E-2</c:v>
                </c:pt>
                <c:pt idx="12">
                  <c:v>7.8400000000000011E-2</c:v>
                </c:pt>
                <c:pt idx="13">
                  <c:v>7.6600000000000015E-2</c:v>
                </c:pt>
                <c:pt idx="14">
                  <c:v>7.4800000000000019E-2</c:v>
                </c:pt>
                <c:pt idx="15">
                  <c:v>7.3000000000000023E-2</c:v>
                </c:pt>
                <c:pt idx="16">
                  <c:v>7.1199999999999999E-2</c:v>
                </c:pt>
                <c:pt idx="17">
                  <c:v>6.9400000000000003E-2</c:v>
                </c:pt>
                <c:pt idx="18">
                  <c:v>6.7600000000000035E-2</c:v>
                </c:pt>
                <c:pt idx="19">
                  <c:v>6.5800000000000011E-2</c:v>
                </c:pt>
                <c:pt idx="20">
                  <c:v>6.4000000000000015E-2</c:v>
                </c:pt>
                <c:pt idx="21">
                  <c:v>6.2200000000000012E-2</c:v>
                </c:pt>
                <c:pt idx="22">
                  <c:v>6.040000000000003E-2</c:v>
                </c:pt>
                <c:pt idx="23">
                  <c:v>5.8600000000000027E-2</c:v>
                </c:pt>
                <c:pt idx="24">
                  <c:v>5.6800000000000003E-2</c:v>
                </c:pt>
                <c:pt idx="25">
                  <c:v>5.5000000000000007E-2</c:v>
                </c:pt>
                <c:pt idx="26">
                  <c:v>5.3200000000000011E-2</c:v>
                </c:pt>
                <c:pt idx="27">
                  <c:v>5.1400000000000015E-2</c:v>
                </c:pt>
                <c:pt idx="28">
                  <c:v>4.9600000000000019E-2</c:v>
                </c:pt>
                <c:pt idx="29">
                  <c:v>4.7799999999999995E-2</c:v>
                </c:pt>
                <c:pt idx="30">
                  <c:v>4.5999999999999999E-2</c:v>
                </c:pt>
                <c:pt idx="31">
                  <c:v>4.4199999999999996E-2</c:v>
                </c:pt>
                <c:pt idx="32">
                  <c:v>4.2400000000000014E-2</c:v>
                </c:pt>
                <c:pt idx="33">
                  <c:v>4.0599999999999997E-2</c:v>
                </c:pt>
                <c:pt idx="34">
                  <c:v>3.8800000000000001E-2</c:v>
                </c:pt>
                <c:pt idx="35">
                  <c:v>3.7000000000000019E-2</c:v>
                </c:pt>
                <c:pt idx="36">
                  <c:v>3.5200000000000009E-2</c:v>
                </c:pt>
                <c:pt idx="37">
                  <c:v>3.3400000000000013E-2</c:v>
                </c:pt>
                <c:pt idx="38">
                  <c:v>3.1600000000000017E-2</c:v>
                </c:pt>
                <c:pt idx="39">
                  <c:v>2.9800000000000007E-2</c:v>
                </c:pt>
                <c:pt idx="40">
                  <c:v>2.8000000000000011E-2</c:v>
                </c:pt>
                <c:pt idx="41">
                  <c:v>2.6200000000000029E-2</c:v>
                </c:pt>
                <c:pt idx="42">
                  <c:v>2.4400000000000019E-2</c:v>
                </c:pt>
                <c:pt idx="43">
                  <c:v>2.2600000000000023E-2</c:v>
                </c:pt>
                <c:pt idx="44">
                  <c:v>2.0800000000000013E-2</c:v>
                </c:pt>
                <c:pt idx="45">
                  <c:v>1.9000000000000017E-2</c:v>
                </c:pt>
                <c:pt idx="46">
                  <c:v>1.7200000000000021E-2</c:v>
                </c:pt>
                <c:pt idx="47">
                  <c:v>1.5400000000000011E-2</c:v>
                </c:pt>
                <c:pt idx="48">
                  <c:v>1.3600000000000015E-2</c:v>
                </c:pt>
                <c:pt idx="49">
                  <c:v>1.1800000000000007E-2</c:v>
                </c:pt>
                <c:pt idx="50">
                  <c:v>1.0000000000000009E-2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CC-41D0-9E42-79F9502085F8}"/>
            </c:ext>
          </c:extLst>
        </c:ser>
        <c:ser>
          <c:idx val="3"/>
          <c:order val="1"/>
          <c:tx>
            <c:strRef>
              <c:f>Sheet2!$I$1</c:f>
              <c:strCache>
                <c:ptCount val="1"/>
                <c:pt idx="0">
                  <c:v>ia (exigida)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Sheet2!$F$2:$F$52</c:f>
              <c:numCache>
                <c:formatCode>0%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cat>
          <c:val>
            <c:numRef>
              <c:f>Sheet2!$I$2:$I$52</c:f>
              <c:numCache>
                <c:formatCode>0.00%</c:formatCode>
                <c:ptCount val="51"/>
                <c:pt idx="0">
                  <c:v>4.9999999999999996E-2</c:v>
                </c:pt>
                <c:pt idx="1">
                  <c:v>5.0505050505050504E-2</c:v>
                </c:pt>
                <c:pt idx="2">
                  <c:v>5.1020408163265307E-2</c:v>
                </c:pt>
                <c:pt idx="3">
                  <c:v>5.1546391752577317E-2</c:v>
                </c:pt>
                <c:pt idx="4">
                  <c:v>5.2083333333333329E-2</c:v>
                </c:pt>
                <c:pt idx="5">
                  <c:v>5.2631578947368418E-2</c:v>
                </c:pt>
                <c:pt idx="6">
                  <c:v>5.3191489361702128E-2</c:v>
                </c:pt>
                <c:pt idx="7">
                  <c:v>5.3763440860215055E-2</c:v>
                </c:pt>
                <c:pt idx="8">
                  <c:v>5.4347826086956513E-2</c:v>
                </c:pt>
                <c:pt idx="9">
                  <c:v>5.4945054945054937E-2</c:v>
                </c:pt>
                <c:pt idx="10">
                  <c:v>5.5555555555555552E-2</c:v>
                </c:pt>
                <c:pt idx="11">
                  <c:v>5.6179775280898868E-2</c:v>
                </c:pt>
                <c:pt idx="12">
                  <c:v>5.6818181818181816E-2</c:v>
                </c:pt>
                <c:pt idx="13">
                  <c:v>5.7471264367816084E-2</c:v>
                </c:pt>
                <c:pt idx="14">
                  <c:v>5.8139534883720929E-2</c:v>
                </c:pt>
                <c:pt idx="15">
                  <c:v>5.8823529411764705E-2</c:v>
                </c:pt>
                <c:pt idx="16">
                  <c:v>5.9523809523809521E-2</c:v>
                </c:pt>
                <c:pt idx="17">
                  <c:v>6.0240963855421686E-2</c:v>
                </c:pt>
                <c:pt idx="18">
                  <c:v>6.0975609756097553E-2</c:v>
                </c:pt>
                <c:pt idx="19">
                  <c:v>6.1728395061728385E-2</c:v>
                </c:pt>
                <c:pt idx="20">
                  <c:v>6.2499999999999993E-2</c:v>
                </c:pt>
                <c:pt idx="21">
                  <c:v>6.3291139240506319E-2</c:v>
                </c:pt>
                <c:pt idx="22">
                  <c:v>6.4102564102564097E-2</c:v>
                </c:pt>
                <c:pt idx="23">
                  <c:v>6.4935064935064929E-2</c:v>
                </c:pt>
                <c:pt idx="24">
                  <c:v>6.5789473684210523E-2</c:v>
                </c:pt>
                <c:pt idx="25">
                  <c:v>6.6666666666666666E-2</c:v>
                </c:pt>
                <c:pt idx="26">
                  <c:v>6.7567567567567557E-2</c:v>
                </c:pt>
                <c:pt idx="27">
                  <c:v>6.8493150684931503E-2</c:v>
                </c:pt>
                <c:pt idx="28">
                  <c:v>6.9444444444444434E-2</c:v>
                </c:pt>
                <c:pt idx="29">
                  <c:v>7.0422535211267595E-2</c:v>
                </c:pt>
                <c:pt idx="30">
                  <c:v>7.1428571428571425E-2</c:v>
                </c:pt>
                <c:pt idx="31">
                  <c:v>7.2463768115942032E-2</c:v>
                </c:pt>
                <c:pt idx="32">
                  <c:v>7.3529411764705885E-2</c:v>
                </c:pt>
                <c:pt idx="33">
                  <c:v>7.4626865671641784E-2</c:v>
                </c:pt>
                <c:pt idx="34">
                  <c:v>7.575757575757576E-2</c:v>
                </c:pt>
                <c:pt idx="35">
                  <c:v>7.6923076923076913E-2</c:v>
                </c:pt>
                <c:pt idx="36">
                  <c:v>7.8124999999999986E-2</c:v>
                </c:pt>
                <c:pt idx="37">
                  <c:v>7.9365079365079361E-2</c:v>
                </c:pt>
                <c:pt idx="38">
                  <c:v>8.0645161290322565E-2</c:v>
                </c:pt>
                <c:pt idx="39">
                  <c:v>8.1967213114754092E-2</c:v>
                </c:pt>
                <c:pt idx="40">
                  <c:v>8.3333333333333329E-2</c:v>
                </c:pt>
                <c:pt idx="41">
                  <c:v>8.4745762711864375E-2</c:v>
                </c:pt>
                <c:pt idx="42">
                  <c:v>8.6206896551724116E-2</c:v>
                </c:pt>
                <c:pt idx="43">
                  <c:v>8.7719298245614016E-2</c:v>
                </c:pt>
                <c:pt idx="44">
                  <c:v>8.928571428571426E-2</c:v>
                </c:pt>
                <c:pt idx="45">
                  <c:v>9.0909090909090898E-2</c:v>
                </c:pt>
                <c:pt idx="46">
                  <c:v>9.2592592592592587E-2</c:v>
                </c:pt>
                <c:pt idx="47">
                  <c:v>9.4339622641509427E-2</c:v>
                </c:pt>
                <c:pt idx="48">
                  <c:v>9.6153846153846145E-2</c:v>
                </c:pt>
                <c:pt idx="49">
                  <c:v>9.8039215686274508E-2</c:v>
                </c:pt>
                <c:pt idx="50">
                  <c:v>9.9999999999999992E-2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CC-41D0-9E42-79F950208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072751"/>
        <c:axId val="508418127"/>
      </c:lineChart>
      <c:catAx>
        <c:axId val="72807275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18127"/>
        <c:crosses val="autoZero"/>
        <c:auto val="1"/>
        <c:lblAlgn val="ctr"/>
        <c:lblOffset val="100"/>
        <c:noMultiLvlLbl val="0"/>
      </c:catAx>
      <c:valAx>
        <c:axId val="50841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7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cambio en rentabilidad ante cambios en la probabilidad de incumplimiento y trayectoria de tasa activa para compensar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Sheet2!$H$1</c:f>
              <c:strCache>
                <c:ptCount val="1"/>
                <c:pt idx="0">
                  <c:v>rsp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Sheet2!$F$2:$F$52</c:f>
              <c:numCache>
                <c:formatCode>0%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cat>
          <c:val>
            <c:numRef>
              <c:f>Sheet2!$H$2:$H$52</c:f>
              <c:numCache>
                <c:formatCode>0.00%</c:formatCode>
                <c:ptCount val="51"/>
                <c:pt idx="0">
                  <c:v>0.10000000000000002</c:v>
                </c:pt>
                <c:pt idx="1">
                  <c:v>9.8200000000000023E-2</c:v>
                </c:pt>
                <c:pt idx="2">
                  <c:v>9.6400000000000027E-2</c:v>
                </c:pt>
                <c:pt idx="3">
                  <c:v>9.4600000000000004E-2</c:v>
                </c:pt>
                <c:pt idx="4">
                  <c:v>9.2800000000000007E-2</c:v>
                </c:pt>
                <c:pt idx="5">
                  <c:v>9.1000000000000011E-2</c:v>
                </c:pt>
                <c:pt idx="6">
                  <c:v>8.9200000000000015E-2</c:v>
                </c:pt>
                <c:pt idx="7">
                  <c:v>8.7400000000000019E-2</c:v>
                </c:pt>
                <c:pt idx="8">
                  <c:v>8.5600000000000023E-2</c:v>
                </c:pt>
                <c:pt idx="9">
                  <c:v>8.3800000000000027E-2</c:v>
                </c:pt>
                <c:pt idx="10">
                  <c:v>8.2000000000000031E-2</c:v>
                </c:pt>
                <c:pt idx="11">
                  <c:v>8.0200000000000007E-2</c:v>
                </c:pt>
                <c:pt idx="12">
                  <c:v>7.8400000000000011E-2</c:v>
                </c:pt>
                <c:pt idx="13">
                  <c:v>7.6600000000000015E-2</c:v>
                </c:pt>
                <c:pt idx="14">
                  <c:v>7.4800000000000019E-2</c:v>
                </c:pt>
                <c:pt idx="15">
                  <c:v>7.3000000000000023E-2</c:v>
                </c:pt>
                <c:pt idx="16">
                  <c:v>7.1199999999999999E-2</c:v>
                </c:pt>
                <c:pt idx="17">
                  <c:v>6.9400000000000003E-2</c:v>
                </c:pt>
                <c:pt idx="18">
                  <c:v>6.7600000000000035E-2</c:v>
                </c:pt>
                <c:pt idx="19">
                  <c:v>6.5800000000000011E-2</c:v>
                </c:pt>
                <c:pt idx="20">
                  <c:v>6.4000000000000015E-2</c:v>
                </c:pt>
                <c:pt idx="21">
                  <c:v>6.2200000000000012E-2</c:v>
                </c:pt>
                <c:pt idx="22">
                  <c:v>6.040000000000003E-2</c:v>
                </c:pt>
                <c:pt idx="23">
                  <c:v>5.8600000000000027E-2</c:v>
                </c:pt>
                <c:pt idx="24">
                  <c:v>5.6800000000000003E-2</c:v>
                </c:pt>
                <c:pt idx="25">
                  <c:v>5.5000000000000007E-2</c:v>
                </c:pt>
                <c:pt idx="26">
                  <c:v>5.3200000000000011E-2</c:v>
                </c:pt>
                <c:pt idx="27">
                  <c:v>5.1400000000000015E-2</c:v>
                </c:pt>
                <c:pt idx="28">
                  <c:v>4.9600000000000019E-2</c:v>
                </c:pt>
                <c:pt idx="29">
                  <c:v>4.7799999999999995E-2</c:v>
                </c:pt>
                <c:pt idx="30">
                  <c:v>4.5999999999999999E-2</c:v>
                </c:pt>
                <c:pt idx="31">
                  <c:v>4.4199999999999996E-2</c:v>
                </c:pt>
                <c:pt idx="32">
                  <c:v>4.2400000000000014E-2</c:v>
                </c:pt>
                <c:pt idx="33">
                  <c:v>4.0599999999999997E-2</c:v>
                </c:pt>
                <c:pt idx="34">
                  <c:v>3.8800000000000001E-2</c:v>
                </c:pt>
                <c:pt idx="35">
                  <c:v>3.7000000000000019E-2</c:v>
                </c:pt>
                <c:pt idx="36">
                  <c:v>3.5200000000000009E-2</c:v>
                </c:pt>
                <c:pt idx="37">
                  <c:v>3.3400000000000013E-2</c:v>
                </c:pt>
                <c:pt idx="38">
                  <c:v>3.1600000000000017E-2</c:v>
                </c:pt>
                <c:pt idx="39">
                  <c:v>2.9800000000000007E-2</c:v>
                </c:pt>
                <c:pt idx="40">
                  <c:v>2.8000000000000011E-2</c:v>
                </c:pt>
                <c:pt idx="41">
                  <c:v>2.6200000000000029E-2</c:v>
                </c:pt>
                <c:pt idx="42">
                  <c:v>2.4400000000000019E-2</c:v>
                </c:pt>
                <c:pt idx="43">
                  <c:v>2.2600000000000023E-2</c:v>
                </c:pt>
                <c:pt idx="44">
                  <c:v>2.0800000000000013E-2</c:v>
                </c:pt>
                <c:pt idx="45">
                  <c:v>1.9000000000000017E-2</c:v>
                </c:pt>
                <c:pt idx="46">
                  <c:v>1.7200000000000021E-2</c:v>
                </c:pt>
                <c:pt idx="47">
                  <c:v>1.5400000000000011E-2</c:v>
                </c:pt>
                <c:pt idx="48">
                  <c:v>1.3600000000000015E-2</c:v>
                </c:pt>
                <c:pt idx="49">
                  <c:v>1.1800000000000007E-2</c:v>
                </c:pt>
                <c:pt idx="50">
                  <c:v>1.0000000000000009E-2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4B-404B-B279-0A441E8643E7}"/>
            </c:ext>
          </c:extLst>
        </c:ser>
        <c:ser>
          <c:idx val="3"/>
          <c:order val="1"/>
          <c:tx>
            <c:strRef>
              <c:f>Sheet2!$I$1</c:f>
              <c:strCache>
                <c:ptCount val="1"/>
                <c:pt idx="0">
                  <c:v>ia (exigida)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Sheet2!$F$2:$F$52</c:f>
              <c:numCache>
                <c:formatCode>0%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cat>
          <c:val>
            <c:numRef>
              <c:f>Sheet2!$I$2:$I$52</c:f>
              <c:numCache>
                <c:formatCode>0.00%</c:formatCode>
                <c:ptCount val="51"/>
                <c:pt idx="0">
                  <c:v>4.9999999999999996E-2</c:v>
                </c:pt>
                <c:pt idx="1">
                  <c:v>5.0505050505050504E-2</c:v>
                </c:pt>
                <c:pt idx="2">
                  <c:v>5.1020408163265307E-2</c:v>
                </c:pt>
                <c:pt idx="3">
                  <c:v>5.1546391752577317E-2</c:v>
                </c:pt>
                <c:pt idx="4">
                  <c:v>5.2083333333333329E-2</c:v>
                </c:pt>
                <c:pt idx="5">
                  <c:v>5.2631578947368418E-2</c:v>
                </c:pt>
                <c:pt idx="6">
                  <c:v>5.3191489361702128E-2</c:v>
                </c:pt>
                <c:pt idx="7">
                  <c:v>5.3763440860215055E-2</c:v>
                </c:pt>
                <c:pt idx="8">
                  <c:v>5.4347826086956513E-2</c:v>
                </c:pt>
                <c:pt idx="9">
                  <c:v>5.4945054945054937E-2</c:v>
                </c:pt>
                <c:pt idx="10">
                  <c:v>5.5555555555555552E-2</c:v>
                </c:pt>
                <c:pt idx="11">
                  <c:v>5.6179775280898868E-2</c:v>
                </c:pt>
                <c:pt idx="12">
                  <c:v>5.6818181818181816E-2</c:v>
                </c:pt>
                <c:pt idx="13">
                  <c:v>5.7471264367816084E-2</c:v>
                </c:pt>
                <c:pt idx="14">
                  <c:v>5.8139534883720929E-2</c:v>
                </c:pt>
                <c:pt idx="15">
                  <c:v>5.8823529411764705E-2</c:v>
                </c:pt>
                <c:pt idx="16">
                  <c:v>5.9523809523809521E-2</c:v>
                </c:pt>
                <c:pt idx="17">
                  <c:v>6.0240963855421686E-2</c:v>
                </c:pt>
                <c:pt idx="18">
                  <c:v>6.0975609756097553E-2</c:v>
                </c:pt>
                <c:pt idx="19">
                  <c:v>6.1728395061728385E-2</c:v>
                </c:pt>
                <c:pt idx="20">
                  <c:v>6.2499999999999993E-2</c:v>
                </c:pt>
                <c:pt idx="21">
                  <c:v>6.3291139240506319E-2</c:v>
                </c:pt>
                <c:pt idx="22">
                  <c:v>6.4102564102564097E-2</c:v>
                </c:pt>
                <c:pt idx="23">
                  <c:v>6.4935064935064929E-2</c:v>
                </c:pt>
                <c:pt idx="24">
                  <c:v>6.5789473684210523E-2</c:v>
                </c:pt>
                <c:pt idx="25">
                  <c:v>6.6666666666666666E-2</c:v>
                </c:pt>
                <c:pt idx="26">
                  <c:v>6.7567567567567557E-2</c:v>
                </c:pt>
                <c:pt idx="27">
                  <c:v>6.8493150684931503E-2</c:v>
                </c:pt>
                <c:pt idx="28">
                  <c:v>6.9444444444444434E-2</c:v>
                </c:pt>
                <c:pt idx="29">
                  <c:v>7.0422535211267595E-2</c:v>
                </c:pt>
                <c:pt idx="30">
                  <c:v>7.1428571428571425E-2</c:v>
                </c:pt>
                <c:pt idx="31">
                  <c:v>7.2463768115942032E-2</c:v>
                </c:pt>
                <c:pt idx="32">
                  <c:v>7.3529411764705885E-2</c:v>
                </c:pt>
                <c:pt idx="33">
                  <c:v>7.4626865671641784E-2</c:v>
                </c:pt>
                <c:pt idx="34">
                  <c:v>7.575757575757576E-2</c:v>
                </c:pt>
                <c:pt idx="35">
                  <c:v>7.6923076923076913E-2</c:v>
                </c:pt>
                <c:pt idx="36">
                  <c:v>7.8124999999999986E-2</c:v>
                </c:pt>
                <c:pt idx="37">
                  <c:v>7.9365079365079361E-2</c:v>
                </c:pt>
                <c:pt idx="38">
                  <c:v>8.0645161290322565E-2</c:v>
                </c:pt>
                <c:pt idx="39">
                  <c:v>8.1967213114754092E-2</c:v>
                </c:pt>
                <c:pt idx="40">
                  <c:v>8.3333333333333329E-2</c:v>
                </c:pt>
                <c:pt idx="41">
                  <c:v>8.4745762711864375E-2</c:v>
                </c:pt>
                <c:pt idx="42">
                  <c:v>8.6206896551724116E-2</c:v>
                </c:pt>
                <c:pt idx="43">
                  <c:v>8.7719298245614016E-2</c:v>
                </c:pt>
                <c:pt idx="44">
                  <c:v>8.928571428571426E-2</c:v>
                </c:pt>
                <c:pt idx="45">
                  <c:v>9.0909090909090898E-2</c:v>
                </c:pt>
                <c:pt idx="46">
                  <c:v>9.2592592592592587E-2</c:v>
                </c:pt>
                <c:pt idx="47">
                  <c:v>9.4339622641509427E-2</c:v>
                </c:pt>
                <c:pt idx="48">
                  <c:v>9.6153846153846145E-2</c:v>
                </c:pt>
                <c:pt idx="49">
                  <c:v>9.8039215686274508E-2</c:v>
                </c:pt>
                <c:pt idx="50">
                  <c:v>9.9999999999999992E-2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4B-404B-B279-0A441E864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8072751"/>
        <c:axId val="508418127"/>
      </c:lineChart>
      <c:catAx>
        <c:axId val="72807275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418127"/>
        <c:crosses val="autoZero"/>
        <c:auto val="1"/>
        <c:lblAlgn val="ctr"/>
        <c:lblOffset val="100"/>
        <c:noMultiLvlLbl val="0"/>
      </c:catAx>
      <c:valAx>
        <c:axId val="50841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72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4E7533-301F-4DA2-9774-A310A897600D}">
  <sheetPr/>
  <sheetViews>
    <sheetView zoomScale="8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427" cy="62957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429047-E1AE-A5ED-4035-6CBEB41EB1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467599" y="380999"/>
    <xdr:ext cx="4017227" cy="36097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7632E-E47B-47AB-9348-159525A116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2E2F-7E3C-4D25-882F-0656F06BC4D2}">
  <dimension ref="C1:U15"/>
  <sheetViews>
    <sheetView topLeftCell="B1" workbookViewId="0">
      <selection activeCell="G3" sqref="G3:J8"/>
    </sheetView>
  </sheetViews>
  <sheetFormatPr defaultRowHeight="15" x14ac:dyDescent="0.25"/>
  <sheetData>
    <row r="1" spans="3:21" x14ac:dyDescent="0.25">
      <c r="S1">
        <f>8*4.5/10</f>
        <v>3.6</v>
      </c>
    </row>
    <row r="3" spans="3:21" x14ac:dyDescent="0.25">
      <c r="C3">
        <v>20</v>
      </c>
      <c r="D3">
        <f>+C3/200</f>
        <v>0.1</v>
      </c>
      <c r="H3" s="1">
        <v>0.05</v>
      </c>
      <c r="J3">
        <f>+H7*(H3*(1-H5)*(1-H6)-H4)</f>
        <v>20.000000000000004</v>
      </c>
      <c r="L3" s="6">
        <v>5.6250000000000001E-2</v>
      </c>
      <c r="N3" s="2">
        <f>+L7*(L3*(1-L5)*(1-L6)-L4)</f>
        <v>20.000000000000004</v>
      </c>
      <c r="P3" s="6">
        <f>+H3</f>
        <v>0.05</v>
      </c>
      <c r="R3" s="2">
        <f>+P7*(P3*(1-P5)*(1-P6)-P4)</f>
        <v>16.400000000000006</v>
      </c>
      <c r="S3" s="2">
        <f>+N3-R3</f>
        <v>3.5999999999999979</v>
      </c>
    </row>
    <row r="4" spans="3:21" x14ac:dyDescent="0.25">
      <c r="H4" s="1">
        <v>0.02</v>
      </c>
      <c r="L4" s="1">
        <v>0.02</v>
      </c>
      <c r="P4" s="1">
        <v>0.02</v>
      </c>
    </row>
    <row r="5" spans="3:21" x14ac:dyDescent="0.25">
      <c r="C5">
        <v>25</v>
      </c>
      <c r="D5">
        <f>+C5/200</f>
        <v>0.125</v>
      </c>
      <c r="H5" s="1">
        <v>0.1</v>
      </c>
      <c r="J5" s="3">
        <f>+J3/H8</f>
        <v>0.10000000000000002</v>
      </c>
      <c r="L5" s="1">
        <v>0.2</v>
      </c>
      <c r="N5" s="3">
        <f>+N3/L8</f>
        <v>0.10000000000000002</v>
      </c>
      <c r="P5" s="1">
        <v>0.1</v>
      </c>
      <c r="R5" s="8">
        <f>+R3/P8</f>
        <v>8.2000000000000031E-2</v>
      </c>
      <c r="S5" s="6">
        <f>+J5-R5</f>
        <v>1.7999999999999988E-2</v>
      </c>
      <c r="U5">
        <f>3.6/200</f>
        <v>1.8000000000000002E-2</v>
      </c>
    </row>
    <row r="6" spans="3:21" x14ac:dyDescent="0.25">
      <c r="H6" s="1">
        <v>0</v>
      </c>
      <c r="L6" s="1">
        <v>0</v>
      </c>
      <c r="P6" s="1">
        <v>0.1</v>
      </c>
    </row>
    <row r="7" spans="3:21" x14ac:dyDescent="0.25">
      <c r="H7" s="2">
        <v>800</v>
      </c>
      <c r="L7" s="2">
        <v>800</v>
      </c>
      <c r="P7" s="2">
        <v>800</v>
      </c>
    </row>
    <row r="8" spans="3:21" x14ac:dyDescent="0.25">
      <c r="H8" s="2">
        <v>200</v>
      </c>
      <c r="L8" s="2">
        <v>200</v>
      </c>
      <c r="P8" s="2">
        <v>200</v>
      </c>
    </row>
    <row r="10" spans="3:21" x14ac:dyDescent="0.25">
      <c r="H10" s="1">
        <v>0.02</v>
      </c>
    </row>
    <row r="11" spans="3:21" x14ac:dyDescent="0.25">
      <c r="H11" s="1">
        <v>0.05</v>
      </c>
      <c r="J11">
        <f>+H14*(H11*(1-H12)*(1-H13)-H10)</f>
        <v>25.000000000000004</v>
      </c>
    </row>
    <row r="12" spans="3:21" x14ac:dyDescent="0.25">
      <c r="H12" s="1">
        <v>0.1</v>
      </c>
      <c r="J12" s="4">
        <f>+J11/H15</f>
        <v>0.12500000000000003</v>
      </c>
    </row>
    <row r="13" spans="3:21" x14ac:dyDescent="0.25">
      <c r="H13" s="1">
        <v>0</v>
      </c>
    </row>
    <row r="14" spans="3:21" x14ac:dyDescent="0.25">
      <c r="H14" s="2">
        <v>1000</v>
      </c>
    </row>
    <row r="15" spans="3:21" x14ac:dyDescent="0.25">
      <c r="H15" s="2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053F8-E34D-4402-9CA0-688C2D2C7598}">
  <dimension ref="B1:I52"/>
  <sheetViews>
    <sheetView tabSelected="1" workbookViewId="0">
      <selection activeCell="N25" sqref="N25"/>
    </sheetView>
  </sheetViews>
  <sheetFormatPr defaultRowHeight="15" x14ac:dyDescent="0.25"/>
  <cols>
    <col min="2" max="2" width="23.5703125" bestFit="1" customWidth="1"/>
  </cols>
  <sheetData>
    <row r="1" spans="2:9" x14ac:dyDescent="0.25">
      <c r="F1" t="s">
        <v>3</v>
      </c>
      <c r="G1" t="s">
        <v>9</v>
      </c>
      <c r="H1" t="s">
        <v>10</v>
      </c>
      <c r="I1" t="s">
        <v>11</v>
      </c>
    </row>
    <row r="2" spans="2:9" x14ac:dyDescent="0.25">
      <c r="B2" t="s">
        <v>1</v>
      </c>
      <c r="C2" s="1">
        <v>0.05</v>
      </c>
      <c r="F2" s="1">
        <v>0</v>
      </c>
      <c r="G2">
        <f>+$C$6*($C$2*(1-$C$4)*(1-F2)-$C$3)</f>
        <v>20.000000000000004</v>
      </c>
      <c r="H2" s="7">
        <f>+G2/$C$7</f>
        <v>0.10000000000000002</v>
      </c>
      <c r="I2" s="5">
        <f>+(20/$C$6+$C$3)/((1-$C$4)*(1-F2))</f>
        <v>4.9999999999999996E-2</v>
      </c>
    </row>
    <row r="3" spans="2:9" x14ac:dyDescent="0.25">
      <c r="B3" t="s">
        <v>0</v>
      </c>
      <c r="C3" s="1">
        <v>0.02</v>
      </c>
      <c r="F3" s="1">
        <v>0.01</v>
      </c>
      <c r="G3">
        <f t="shared" ref="G3:G52" si="0">+$C$6*($C$2*(1-$C$4)*(1-F3)-$C$3)</f>
        <v>19.640000000000004</v>
      </c>
      <c r="H3" s="7">
        <f t="shared" ref="H3:H52" si="1">+G3/$C$7</f>
        <v>9.8200000000000023E-2</v>
      </c>
      <c r="I3" s="5">
        <f t="shared" ref="I3:I52" si="2">+(20/$C$6+$C$3)/((1-$C$4)*(1-F3))</f>
        <v>5.0505050505050504E-2</v>
      </c>
    </row>
    <row r="4" spans="2:9" x14ac:dyDescent="0.25">
      <c r="B4" t="s">
        <v>2</v>
      </c>
      <c r="C4" s="1">
        <v>0.1</v>
      </c>
      <c r="F4" s="1">
        <v>0.02</v>
      </c>
      <c r="G4">
        <f t="shared" si="0"/>
        <v>19.280000000000005</v>
      </c>
      <c r="H4" s="7">
        <f t="shared" si="1"/>
        <v>9.6400000000000027E-2</v>
      </c>
      <c r="I4" s="5">
        <f t="shared" si="2"/>
        <v>5.1020408163265307E-2</v>
      </c>
    </row>
    <row r="5" spans="2:9" x14ac:dyDescent="0.25">
      <c r="B5" t="s">
        <v>3</v>
      </c>
      <c r="C5" s="1">
        <v>0</v>
      </c>
      <c r="F5" s="1">
        <v>0.03</v>
      </c>
      <c r="G5">
        <f t="shared" si="0"/>
        <v>18.920000000000002</v>
      </c>
      <c r="H5" s="7">
        <f t="shared" si="1"/>
        <v>9.4600000000000004E-2</v>
      </c>
      <c r="I5" s="5">
        <f t="shared" si="2"/>
        <v>5.1546391752577317E-2</v>
      </c>
    </row>
    <row r="6" spans="2:9" x14ac:dyDescent="0.25">
      <c r="B6" t="s">
        <v>4</v>
      </c>
      <c r="C6" s="2">
        <v>800</v>
      </c>
      <c r="F6" s="1">
        <v>0.04</v>
      </c>
      <c r="G6">
        <f t="shared" si="0"/>
        <v>18.560000000000002</v>
      </c>
      <c r="H6" s="7">
        <f t="shared" si="1"/>
        <v>9.2800000000000007E-2</v>
      </c>
      <c r="I6" s="5">
        <f t="shared" si="2"/>
        <v>5.2083333333333329E-2</v>
      </c>
    </row>
    <row r="7" spans="2:9" x14ac:dyDescent="0.25">
      <c r="B7" t="s">
        <v>5</v>
      </c>
      <c r="C7" s="2">
        <v>200</v>
      </c>
      <c r="F7" s="1">
        <v>0.05</v>
      </c>
      <c r="G7">
        <f t="shared" si="0"/>
        <v>18.200000000000003</v>
      </c>
      <c r="H7" s="7">
        <f t="shared" si="1"/>
        <v>9.1000000000000011E-2</v>
      </c>
      <c r="I7" s="5">
        <f t="shared" si="2"/>
        <v>5.2631578947368418E-2</v>
      </c>
    </row>
    <row r="8" spans="2:9" x14ac:dyDescent="0.25">
      <c r="F8" s="1">
        <v>0.06</v>
      </c>
      <c r="G8">
        <f t="shared" si="0"/>
        <v>17.840000000000003</v>
      </c>
      <c r="H8" s="7">
        <f t="shared" si="1"/>
        <v>8.9200000000000015E-2</v>
      </c>
      <c r="I8" s="5">
        <f t="shared" si="2"/>
        <v>5.3191489361702128E-2</v>
      </c>
    </row>
    <row r="9" spans="2:9" x14ac:dyDescent="0.25">
      <c r="B9" t="s">
        <v>6</v>
      </c>
      <c r="C9">
        <f>+C6*(C2*(1-C4)*(1-C5)-C3)</f>
        <v>20.000000000000004</v>
      </c>
      <c r="F9" s="1">
        <v>7.0000000000000007E-2</v>
      </c>
      <c r="G9">
        <f t="shared" si="0"/>
        <v>17.480000000000004</v>
      </c>
      <c r="H9" s="7">
        <f t="shared" si="1"/>
        <v>8.7400000000000019E-2</v>
      </c>
      <c r="I9" s="5">
        <f t="shared" si="2"/>
        <v>5.3763440860215055E-2</v>
      </c>
    </row>
    <row r="10" spans="2:9" x14ac:dyDescent="0.25">
      <c r="B10" t="s">
        <v>7</v>
      </c>
      <c r="C10" s="7">
        <f>+C9/C7</f>
        <v>0.10000000000000002</v>
      </c>
      <c r="F10" s="1">
        <v>0.08</v>
      </c>
      <c r="G10">
        <f t="shared" si="0"/>
        <v>17.120000000000005</v>
      </c>
      <c r="H10" s="7">
        <f t="shared" si="1"/>
        <v>8.5600000000000023E-2</v>
      </c>
      <c r="I10" s="5">
        <f t="shared" si="2"/>
        <v>5.4347826086956513E-2</v>
      </c>
    </row>
    <row r="11" spans="2:9" x14ac:dyDescent="0.25">
      <c r="B11" t="s">
        <v>8</v>
      </c>
      <c r="C11">
        <f>+C6/C7</f>
        <v>4</v>
      </c>
      <c r="F11" s="1">
        <v>0.09</v>
      </c>
      <c r="G11">
        <f t="shared" si="0"/>
        <v>16.760000000000005</v>
      </c>
      <c r="H11" s="7">
        <f t="shared" si="1"/>
        <v>8.3800000000000027E-2</v>
      </c>
      <c r="I11" s="5">
        <f t="shared" si="2"/>
        <v>5.4945054945054937E-2</v>
      </c>
    </row>
    <row r="12" spans="2:9" x14ac:dyDescent="0.25">
      <c r="F12" s="1">
        <v>0.1</v>
      </c>
      <c r="G12">
        <f t="shared" si="0"/>
        <v>16.400000000000006</v>
      </c>
      <c r="H12" s="7">
        <f t="shared" si="1"/>
        <v>8.2000000000000031E-2</v>
      </c>
      <c r="I12" s="5">
        <f t="shared" si="2"/>
        <v>5.5555555555555552E-2</v>
      </c>
    </row>
    <row r="13" spans="2:9" x14ac:dyDescent="0.25">
      <c r="F13" s="1">
        <v>0.11</v>
      </c>
      <c r="G13">
        <f t="shared" si="0"/>
        <v>16.040000000000003</v>
      </c>
      <c r="H13" s="7">
        <f t="shared" si="1"/>
        <v>8.0200000000000007E-2</v>
      </c>
      <c r="I13" s="5">
        <f t="shared" si="2"/>
        <v>5.6179775280898868E-2</v>
      </c>
    </row>
    <row r="14" spans="2:9" x14ac:dyDescent="0.25">
      <c r="F14" s="1">
        <v>0.12</v>
      </c>
      <c r="G14">
        <f t="shared" si="0"/>
        <v>15.680000000000001</v>
      </c>
      <c r="H14" s="7">
        <f t="shared" si="1"/>
        <v>7.8400000000000011E-2</v>
      </c>
      <c r="I14" s="5">
        <f t="shared" si="2"/>
        <v>5.6818181818181816E-2</v>
      </c>
    </row>
    <row r="15" spans="2:9" x14ac:dyDescent="0.25">
      <c r="F15" s="1">
        <v>0.13</v>
      </c>
      <c r="G15">
        <f t="shared" si="0"/>
        <v>15.320000000000004</v>
      </c>
      <c r="H15" s="7">
        <f t="shared" si="1"/>
        <v>7.6600000000000015E-2</v>
      </c>
      <c r="I15" s="5">
        <f t="shared" si="2"/>
        <v>5.7471264367816084E-2</v>
      </c>
    </row>
    <row r="16" spans="2:9" x14ac:dyDescent="0.25">
      <c r="F16" s="1">
        <v>0.14000000000000001</v>
      </c>
      <c r="G16">
        <f t="shared" si="0"/>
        <v>14.960000000000004</v>
      </c>
      <c r="H16" s="7">
        <f t="shared" si="1"/>
        <v>7.4800000000000019E-2</v>
      </c>
      <c r="I16" s="5">
        <f t="shared" si="2"/>
        <v>5.8139534883720929E-2</v>
      </c>
    </row>
    <row r="17" spans="6:9" x14ac:dyDescent="0.25">
      <c r="F17" s="1">
        <v>0.15</v>
      </c>
      <c r="G17">
        <f t="shared" si="0"/>
        <v>14.600000000000005</v>
      </c>
      <c r="H17" s="7">
        <f t="shared" si="1"/>
        <v>7.3000000000000023E-2</v>
      </c>
      <c r="I17" s="5">
        <f t="shared" si="2"/>
        <v>5.8823529411764705E-2</v>
      </c>
    </row>
    <row r="18" spans="6:9" x14ac:dyDescent="0.25">
      <c r="F18" s="1">
        <v>0.16</v>
      </c>
      <c r="G18">
        <f t="shared" si="0"/>
        <v>14.24</v>
      </c>
      <c r="H18" s="7">
        <f t="shared" si="1"/>
        <v>7.1199999999999999E-2</v>
      </c>
      <c r="I18" s="5">
        <f t="shared" si="2"/>
        <v>5.9523809523809521E-2</v>
      </c>
    </row>
    <row r="19" spans="6:9" x14ac:dyDescent="0.25">
      <c r="F19" s="1">
        <v>0.17</v>
      </c>
      <c r="G19">
        <f t="shared" si="0"/>
        <v>13.88</v>
      </c>
      <c r="H19" s="7">
        <f t="shared" si="1"/>
        <v>6.9400000000000003E-2</v>
      </c>
      <c r="I19" s="5">
        <f t="shared" si="2"/>
        <v>6.0240963855421686E-2</v>
      </c>
    </row>
    <row r="20" spans="6:9" x14ac:dyDescent="0.25">
      <c r="F20" s="1">
        <v>0.18</v>
      </c>
      <c r="G20">
        <f t="shared" si="0"/>
        <v>13.520000000000007</v>
      </c>
      <c r="H20" s="7">
        <f t="shared" si="1"/>
        <v>6.7600000000000035E-2</v>
      </c>
      <c r="I20" s="5">
        <f t="shared" si="2"/>
        <v>6.0975609756097553E-2</v>
      </c>
    </row>
    <row r="21" spans="6:9" x14ac:dyDescent="0.25">
      <c r="F21" s="1">
        <v>0.19</v>
      </c>
      <c r="G21">
        <f t="shared" si="0"/>
        <v>13.160000000000002</v>
      </c>
      <c r="H21" s="7">
        <f t="shared" si="1"/>
        <v>6.5800000000000011E-2</v>
      </c>
      <c r="I21" s="5">
        <f t="shared" si="2"/>
        <v>6.1728395061728385E-2</v>
      </c>
    </row>
    <row r="22" spans="6:9" x14ac:dyDescent="0.25">
      <c r="F22" s="1">
        <v>0.2</v>
      </c>
      <c r="G22">
        <f t="shared" si="0"/>
        <v>12.800000000000002</v>
      </c>
      <c r="H22" s="7">
        <f t="shared" si="1"/>
        <v>6.4000000000000015E-2</v>
      </c>
      <c r="I22" s="5">
        <f t="shared" si="2"/>
        <v>6.2499999999999993E-2</v>
      </c>
    </row>
    <row r="23" spans="6:9" x14ac:dyDescent="0.25">
      <c r="F23" s="1">
        <v>0.21</v>
      </c>
      <c r="G23">
        <f t="shared" si="0"/>
        <v>12.440000000000003</v>
      </c>
      <c r="H23" s="7">
        <f t="shared" si="1"/>
        <v>6.2200000000000012E-2</v>
      </c>
      <c r="I23" s="5">
        <f t="shared" si="2"/>
        <v>6.3291139240506319E-2</v>
      </c>
    </row>
    <row r="24" spans="6:9" x14ac:dyDescent="0.25">
      <c r="F24" s="1">
        <v>0.22</v>
      </c>
      <c r="G24">
        <f t="shared" si="0"/>
        <v>12.080000000000005</v>
      </c>
      <c r="H24" s="7">
        <f t="shared" si="1"/>
        <v>6.040000000000003E-2</v>
      </c>
      <c r="I24" s="5">
        <f t="shared" si="2"/>
        <v>6.4102564102564097E-2</v>
      </c>
    </row>
    <row r="25" spans="6:9" x14ac:dyDescent="0.25">
      <c r="F25" s="1">
        <v>0.23</v>
      </c>
      <c r="G25">
        <f t="shared" si="0"/>
        <v>11.720000000000006</v>
      </c>
      <c r="H25" s="7">
        <f t="shared" si="1"/>
        <v>5.8600000000000027E-2</v>
      </c>
      <c r="I25" s="5">
        <f t="shared" si="2"/>
        <v>6.4935064935064929E-2</v>
      </c>
    </row>
    <row r="26" spans="6:9" x14ac:dyDescent="0.25">
      <c r="F26" s="1">
        <v>0.24</v>
      </c>
      <c r="G26">
        <f t="shared" si="0"/>
        <v>11.360000000000001</v>
      </c>
      <c r="H26" s="7">
        <f t="shared" si="1"/>
        <v>5.6800000000000003E-2</v>
      </c>
      <c r="I26" s="5">
        <f t="shared" si="2"/>
        <v>6.5789473684210523E-2</v>
      </c>
    </row>
    <row r="27" spans="6:9" x14ac:dyDescent="0.25">
      <c r="F27" s="1">
        <v>0.25</v>
      </c>
      <c r="G27">
        <f t="shared" si="0"/>
        <v>11.000000000000002</v>
      </c>
      <c r="H27" s="7">
        <f t="shared" si="1"/>
        <v>5.5000000000000007E-2</v>
      </c>
      <c r="I27" s="5">
        <f t="shared" si="2"/>
        <v>6.6666666666666666E-2</v>
      </c>
    </row>
    <row r="28" spans="6:9" x14ac:dyDescent="0.25">
      <c r="F28" s="1">
        <v>0.26</v>
      </c>
      <c r="G28">
        <f t="shared" si="0"/>
        <v>10.640000000000002</v>
      </c>
      <c r="H28" s="7">
        <f t="shared" si="1"/>
        <v>5.3200000000000011E-2</v>
      </c>
      <c r="I28" s="5">
        <f t="shared" si="2"/>
        <v>6.7567567567567557E-2</v>
      </c>
    </row>
    <row r="29" spans="6:9" x14ac:dyDescent="0.25">
      <c r="F29" s="1">
        <v>0.27</v>
      </c>
      <c r="G29">
        <f t="shared" si="0"/>
        <v>10.280000000000003</v>
      </c>
      <c r="H29" s="7">
        <f t="shared" si="1"/>
        <v>5.1400000000000015E-2</v>
      </c>
      <c r="I29" s="5">
        <f t="shared" si="2"/>
        <v>6.8493150684931503E-2</v>
      </c>
    </row>
    <row r="30" spans="6:9" x14ac:dyDescent="0.25">
      <c r="F30" s="1">
        <v>0.28000000000000003</v>
      </c>
      <c r="G30">
        <f t="shared" si="0"/>
        <v>9.9200000000000035</v>
      </c>
      <c r="H30" s="7">
        <f t="shared" si="1"/>
        <v>4.9600000000000019E-2</v>
      </c>
      <c r="I30" s="5">
        <f t="shared" si="2"/>
        <v>6.9444444444444434E-2</v>
      </c>
    </row>
    <row r="31" spans="6:9" x14ac:dyDescent="0.25">
      <c r="F31" s="1">
        <v>0.28999999999999998</v>
      </c>
      <c r="G31">
        <f t="shared" si="0"/>
        <v>9.5599999999999987</v>
      </c>
      <c r="H31" s="7">
        <f t="shared" si="1"/>
        <v>4.7799999999999995E-2</v>
      </c>
      <c r="I31" s="5">
        <f t="shared" si="2"/>
        <v>7.0422535211267595E-2</v>
      </c>
    </row>
    <row r="32" spans="6:9" x14ac:dyDescent="0.25">
      <c r="F32" s="1">
        <v>0.3</v>
      </c>
      <c r="G32">
        <f t="shared" si="0"/>
        <v>9.1999999999999993</v>
      </c>
      <c r="H32" s="7">
        <f t="shared" si="1"/>
        <v>4.5999999999999999E-2</v>
      </c>
      <c r="I32" s="5">
        <f t="shared" si="2"/>
        <v>7.1428571428571425E-2</v>
      </c>
    </row>
    <row r="33" spans="6:9" x14ac:dyDescent="0.25">
      <c r="F33" s="1">
        <v>0.31</v>
      </c>
      <c r="G33">
        <f t="shared" si="0"/>
        <v>8.84</v>
      </c>
      <c r="H33" s="7">
        <f t="shared" si="1"/>
        <v>4.4199999999999996E-2</v>
      </c>
      <c r="I33" s="5">
        <f t="shared" si="2"/>
        <v>7.2463768115942032E-2</v>
      </c>
    </row>
    <row r="34" spans="6:9" x14ac:dyDescent="0.25">
      <c r="F34" s="1">
        <v>0.32</v>
      </c>
      <c r="G34">
        <f t="shared" si="0"/>
        <v>8.4800000000000022</v>
      </c>
      <c r="H34" s="7">
        <f t="shared" si="1"/>
        <v>4.2400000000000014E-2</v>
      </c>
      <c r="I34" s="5">
        <f t="shared" si="2"/>
        <v>7.3529411764705885E-2</v>
      </c>
    </row>
    <row r="35" spans="6:9" x14ac:dyDescent="0.25">
      <c r="F35" s="1">
        <v>0.33</v>
      </c>
      <c r="G35">
        <f t="shared" si="0"/>
        <v>8.1199999999999992</v>
      </c>
      <c r="H35" s="7">
        <f t="shared" si="1"/>
        <v>4.0599999999999997E-2</v>
      </c>
      <c r="I35" s="5">
        <f t="shared" si="2"/>
        <v>7.4626865671641784E-2</v>
      </c>
    </row>
    <row r="36" spans="6:9" x14ac:dyDescent="0.25">
      <c r="F36" s="1">
        <v>0.34</v>
      </c>
      <c r="G36">
        <f t="shared" si="0"/>
        <v>7.76</v>
      </c>
      <c r="H36" s="7">
        <f t="shared" si="1"/>
        <v>3.8800000000000001E-2</v>
      </c>
      <c r="I36" s="5">
        <f t="shared" si="2"/>
        <v>7.575757575757576E-2</v>
      </c>
    </row>
    <row r="37" spans="6:9" x14ac:dyDescent="0.25">
      <c r="F37" s="1">
        <v>0.35</v>
      </c>
      <c r="G37">
        <f t="shared" si="0"/>
        <v>7.4000000000000039</v>
      </c>
      <c r="H37" s="7">
        <f t="shared" si="1"/>
        <v>3.7000000000000019E-2</v>
      </c>
      <c r="I37" s="5">
        <f t="shared" si="2"/>
        <v>7.6923076923076913E-2</v>
      </c>
    </row>
    <row r="38" spans="6:9" x14ac:dyDescent="0.25">
      <c r="F38" s="1">
        <v>0.36</v>
      </c>
      <c r="G38">
        <f t="shared" si="0"/>
        <v>7.0400000000000018</v>
      </c>
      <c r="H38" s="7">
        <f t="shared" si="1"/>
        <v>3.5200000000000009E-2</v>
      </c>
      <c r="I38" s="5">
        <f t="shared" si="2"/>
        <v>7.8124999999999986E-2</v>
      </c>
    </row>
    <row r="39" spans="6:9" x14ac:dyDescent="0.25">
      <c r="F39" s="1">
        <v>0.37</v>
      </c>
      <c r="G39">
        <f t="shared" si="0"/>
        <v>6.6800000000000024</v>
      </c>
      <c r="H39" s="7">
        <f t="shared" si="1"/>
        <v>3.3400000000000013E-2</v>
      </c>
      <c r="I39" s="5">
        <f t="shared" si="2"/>
        <v>7.9365079365079361E-2</v>
      </c>
    </row>
    <row r="40" spans="6:9" x14ac:dyDescent="0.25">
      <c r="F40" s="1">
        <v>0.38</v>
      </c>
      <c r="G40">
        <f t="shared" si="0"/>
        <v>6.3200000000000038</v>
      </c>
      <c r="H40" s="7">
        <f t="shared" si="1"/>
        <v>3.1600000000000017E-2</v>
      </c>
      <c r="I40" s="5">
        <f t="shared" si="2"/>
        <v>8.0645161290322565E-2</v>
      </c>
    </row>
    <row r="41" spans="6:9" x14ac:dyDescent="0.25">
      <c r="F41" s="1">
        <v>0.39</v>
      </c>
      <c r="G41">
        <f t="shared" si="0"/>
        <v>5.9600000000000017</v>
      </c>
      <c r="H41" s="7">
        <f t="shared" si="1"/>
        <v>2.9800000000000007E-2</v>
      </c>
      <c r="I41" s="5">
        <f t="shared" si="2"/>
        <v>8.1967213114754092E-2</v>
      </c>
    </row>
    <row r="42" spans="6:9" x14ac:dyDescent="0.25">
      <c r="F42" s="1">
        <v>0.4</v>
      </c>
      <c r="G42">
        <f t="shared" si="0"/>
        <v>5.6000000000000023</v>
      </c>
      <c r="H42" s="7">
        <f t="shared" si="1"/>
        <v>2.8000000000000011E-2</v>
      </c>
      <c r="I42" s="5">
        <f t="shared" si="2"/>
        <v>8.3333333333333329E-2</v>
      </c>
    </row>
    <row r="43" spans="6:9" x14ac:dyDescent="0.25">
      <c r="F43" s="1">
        <v>0.41</v>
      </c>
      <c r="G43">
        <f t="shared" si="0"/>
        <v>5.2400000000000055</v>
      </c>
      <c r="H43" s="7">
        <f t="shared" si="1"/>
        <v>2.6200000000000029E-2</v>
      </c>
      <c r="I43" s="5">
        <f t="shared" si="2"/>
        <v>8.4745762711864375E-2</v>
      </c>
    </row>
    <row r="44" spans="6:9" x14ac:dyDescent="0.25">
      <c r="F44" s="1">
        <v>0.42</v>
      </c>
      <c r="G44">
        <f t="shared" si="0"/>
        <v>4.8800000000000034</v>
      </c>
      <c r="H44" s="7">
        <f t="shared" si="1"/>
        <v>2.4400000000000019E-2</v>
      </c>
      <c r="I44" s="5">
        <f t="shared" si="2"/>
        <v>8.6206896551724116E-2</v>
      </c>
    </row>
    <row r="45" spans="6:9" x14ac:dyDescent="0.25">
      <c r="F45" s="1">
        <v>0.43</v>
      </c>
      <c r="G45">
        <f t="shared" si="0"/>
        <v>4.5200000000000049</v>
      </c>
      <c r="H45" s="7">
        <f t="shared" si="1"/>
        <v>2.2600000000000023E-2</v>
      </c>
      <c r="I45" s="5">
        <f t="shared" si="2"/>
        <v>8.7719298245614016E-2</v>
      </c>
    </row>
    <row r="46" spans="6:9" x14ac:dyDescent="0.25">
      <c r="F46" s="1">
        <v>0.44</v>
      </c>
      <c r="G46">
        <f t="shared" si="0"/>
        <v>4.1600000000000028</v>
      </c>
      <c r="H46" s="7">
        <f t="shared" si="1"/>
        <v>2.0800000000000013E-2</v>
      </c>
      <c r="I46" s="5">
        <f t="shared" si="2"/>
        <v>8.928571428571426E-2</v>
      </c>
    </row>
    <row r="47" spans="6:9" x14ac:dyDescent="0.25">
      <c r="F47" s="1">
        <v>0.45</v>
      </c>
      <c r="G47">
        <f t="shared" si="0"/>
        <v>3.8000000000000034</v>
      </c>
      <c r="H47" s="7">
        <f t="shared" si="1"/>
        <v>1.9000000000000017E-2</v>
      </c>
      <c r="I47" s="5">
        <f t="shared" si="2"/>
        <v>9.0909090909090898E-2</v>
      </c>
    </row>
    <row r="48" spans="6:9" x14ac:dyDescent="0.25">
      <c r="F48" s="1">
        <v>0.46</v>
      </c>
      <c r="G48">
        <f t="shared" si="0"/>
        <v>3.4400000000000039</v>
      </c>
      <c r="H48" s="7">
        <f t="shared" si="1"/>
        <v>1.7200000000000021E-2</v>
      </c>
      <c r="I48" s="5">
        <f t="shared" si="2"/>
        <v>9.2592592592592587E-2</v>
      </c>
    </row>
    <row r="49" spans="6:9" x14ac:dyDescent="0.25">
      <c r="F49" s="1">
        <v>0.47</v>
      </c>
      <c r="G49">
        <f t="shared" si="0"/>
        <v>3.0800000000000023</v>
      </c>
      <c r="H49" s="7">
        <f t="shared" si="1"/>
        <v>1.5400000000000011E-2</v>
      </c>
      <c r="I49" s="5">
        <f t="shared" si="2"/>
        <v>9.4339622641509427E-2</v>
      </c>
    </row>
    <row r="50" spans="6:9" x14ac:dyDescent="0.25">
      <c r="F50" s="1">
        <v>0.48</v>
      </c>
      <c r="G50">
        <f t="shared" si="0"/>
        <v>2.7200000000000029</v>
      </c>
      <c r="H50" s="7">
        <f t="shared" si="1"/>
        <v>1.3600000000000015E-2</v>
      </c>
      <c r="I50" s="5">
        <f t="shared" si="2"/>
        <v>9.6153846153846145E-2</v>
      </c>
    </row>
    <row r="51" spans="6:9" x14ac:dyDescent="0.25">
      <c r="F51" s="1">
        <v>0.49</v>
      </c>
      <c r="G51">
        <f t="shared" si="0"/>
        <v>2.3600000000000012</v>
      </c>
      <c r="H51" s="7">
        <f t="shared" si="1"/>
        <v>1.1800000000000007E-2</v>
      </c>
      <c r="I51" s="5">
        <f t="shared" si="2"/>
        <v>9.8039215686274508E-2</v>
      </c>
    </row>
    <row r="52" spans="6:9" x14ac:dyDescent="0.25">
      <c r="F52" s="1">
        <v>0.5</v>
      </c>
      <c r="G52">
        <f t="shared" si="0"/>
        <v>2.0000000000000018</v>
      </c>
      <c r="H52" s="7">
        <f t="shared" si="1"/>
        <v>1.0000000000000009E-2</v>
      </c>
      <c r="I52" s="5">
        <f t="shared" si="2"/>
        <v>9.9999999999999992E-2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Sheet2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Morera</dc:creator>
  <cp:lastModifiedBy>Luis Morera</cp:lastModifiedBy>
  <dcterms:created xsi:type="dcterms:W3CDTF">2026-09-14T02:52:22Z</dcterms:created>
  <dcterms:modified xsi:type="dcterms:W3CDTF">2026-09-14T16:10:05Z</dcterms:modified>
</cp:coreProperties>
</file>